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xr:revisionPtr revIDLastSave="0" documentId="13_ncr:1_{18B305B4-EF3C-4CBF-88E5-DBB76B9FB2BC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1. Data Penilaian" sheetId="1" r:id="rId1"/>
    <sheet name="Sheet1" sheetId="5" r:id="rId2"/>
    <sheet name="2. Normalisasi Matriks" sheetId="2" state="hidden" r:id="rId3"/>
    <sheet name="3. Bobot" sheetId="3" state="hidden" r:id="rId4"/>
    <sheet name="4. Hasil Akhir" sheetId="4" state="hidden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5" i="1" l="1"/>
  <c r="F46" i="1"/>
  <c r="D55" i="1" s="1"/>
  <c r="F47" i="1"/>
  <c r="F48" i="1"/>
  <c r="F57" i="1" s="1"/>
  <c r="F44" i="1"/>
  <c r="B56" i="1" s="1"/>
  <c r="F54" i="1"/>
  <c r="F55" i="1"/>
  <c r="F56" i="1"/>
  <c r="E54" i="1"/>
  <c r="E55" i="1"/>
  <c r="E56" i="1"/>
  <c r="E57" i="1"/>
  <c r="E53" i="1"/>
  <c r="D54" i="1"/>
  <c r="D56" i="1"/>
  <c r="D57" i="1"/>
  <c r="D53" i="1"/>
  <c r="C53" i="1"/>
  <c r="C54" i="1"/>
  <c r="C55" i="1"/>
  <c r="C56" i="1"/>
  <c r="C57" i="1"/>
  <c r="F36" i="1"/>
  <c r="F37" i="1"/>
  <c r="F38" i="1"/>
  <c r="F39" i="1"/>
  <c r="F35" i="1"/>
  <c r="E35" i="1"/>
  <c r="E36" i="1"/>
  <c r="E37" i="1"/>
  <c r="E38" i="1"/>
  <c r="E39" i="1"/>
  <c r="D36" i="1"/>
  <c r="D37" i="1"/>
  <c r="D38" i="1"/>
  <c r="D39" i="1"/>
  <c r="D35" i="1"/>
  <c r="C35" i="1"/>
  <c r="C36" i="1"/>
  <c r="C37" i="1"/>
  <c r="C38" i="1"/>
  <c r="C39" i="1"/>
  <c r="B36" i="1"/>
  <c r="B37" i="1"/>
  <c r="B38" i="1"/>
  <c r="B39" i="1"/>
  <c r="B35" i="1"/>
  <c r="B27" i="1"/>
  <c r="C27" i="1"/>
  <c r="D27" i="1"/>
  <c r="E27" i="1"/>
  <c r="F27" i="1"/>
  <c r="B28" i="1"/>
  <c r="C28" i="1"/>
  <c r="D28" i="1"/>
  <c r="E28" i="1"/>
  <c r="F28" i="1"/>
  <c r="B29" i="1"/>
  <c r="C29" i="1"/>
  <c r="D29" i="1"/>
  <c r="E29" i="1"/>
  <c r="F29" i="1"/>
  <c r="B30" i="1"/>
  <c r="C30" i="1"/>
  <c r="D30" i="1"/>
  <c r="E30" i="1"/>
  <c r="F30" i="1"/>
  <c r="B31" i="1"/>
  <c r="C31" i="1"/>
  <c r="D31" i="1"/>
  <c r="E31" i="1"/>
  <c r="F31" i="1"/>
  <c r="F53" i="1" l="1"/>
  <c r="C66" i="1"/>
  <c r="B66" i="1"/>
  <c r="B55" i="1"/>
  <c r="B54" i="1"/>
  <c r="B53" i="1"/>
  <c r="B57" i="1"/>
  <c r="B67" i="1" l="1"/>
  <c r="C67" i="1"/>
  <c r="B63" i="1"/>
  <c r="C63" i="1"/>
  <c r="C64" i="1"/>
  <c r="B64" i="1"/>
  <c r="C65" i="1"/>
  <c r="B65" i="1"/>
  <c r="C69" i="1" l="1"/>
  <c r="C68" i="1"/>
  <c r="B68" i="1"/>
  <c r="B69" i="1"/>
  <c r="B74" i="1" s="1"/>
  <c r="B78" i="1"/>
  <c r="B77" i="1" l="1"/>
  <c r="B75" i="1"/>
  <c r="B76" i="1"/>
  <c r="C76" i="1" s="1"/>
  <c r="C74" i="1" l="1"/>
  <c r="C75" i="1"/>
  <c r="C77" i="1"/>
  <c r="C78" i="1"/>
</calcChain>
</file>

<file path=xl/sharedStrings.xml><?xml version="1.0" encoding="utf-8"?>
<sst xmlns="http://schemas.openxmlformats.org/spreadsheetml/2006/main" count="182" uniqueCount="86">
  <si>
    <t>C1 - Minat Pengunjung</t>
  </si>
  <si>
    <t>C2 - Kualitas Barang</t>
  </si>
  <si>
    <t>C3 - Kuantitas Tenaga Kerja</t>
  </si>
  <si>
    <t>C4 - Penghasilan</t>
  </si>
  <si>
    <t>C5 - Jumlah Pinjaman</t>
  </si>
  <si>
    <t>A1 - RM Padang Sakinah</t>
  </si>
  <si>
    <t>A2 - Soto Kesawan</t>
  </si>
  <si>
    <t>A3 - Kedai Kopi Apek</t>
  </si>
  <si>
    <t>A4 - Jambul Seafood</t>
  </si>
  <si>
    <t>A5 - RM Berjaya</t>
  </si>
  <si>
    <t>Kriteria</t>
  </si>
  <si>
    <t>Bobot</t>
  </si>
  <si>
    <t>Bobot Ternormalisasi</t>
  </si>
  <si>
    <t>S</t>
  </si>
  <si>
    <t>R</t>
  </si>
  <si>
    <t>Q</t>
  </si>
  <si>
    <t>Ranking</t>
  </si>
  <si>
    <t>Alternatif</t>
  </si>
  <si>
    <t>Deskripsi</t>
  </si>
  <si>
    <t>Bobot (W)</t>
  </si>
  <si>
    <t>C1</t>
  </si>
  <si>
    <t>Minat Pengunjung</t>
  </si>
  <si>
    <t>C2</t>
  </si>
  <si>
    <t>Kualitas Barang</t>
  </si>
  <si>
    <t>C3</t>
  </si>
  <si>
    <t>Kuantitas Tenaga Kerja</t>
  </si>
  <si>
    <t>C4</t>
  </si>
  <si>
    <t>Penghasilan</t>
  </si>
  <si>
    <t>C5</t>
  </si>
  <si>
    <t>Jumlah Pinjaman</t>
  </si>
  <si>
    <t xml:space="preserve">Kriteria </t>
  </si>
  <si>
    <t>No</t>
  </si>
  <si>
    <t>Jumlah Pengunjung/hari</t>
  </si>
  <si>
    <t>Nilai</t>
  </si>
  <si>
    <t>Sangat Baik</t>
  </si>
  <si>
    <t>Baik</t>
  </si>
  <si>
    <t>Cukup</t>
  </si>
  <si>
    <t>Kurang</t>
  </si>
  <si>
    <t>&gt; 10</t>
  </si>
  <si>
    <t xml:space="preserve">C2 </t>
  </si>
  <si>
    <t xml:space="preserve">C3 </t>
  </si>
  <si>
    <t>&gt; 100</t>
  </si>
  <si>
    <t>Penghasilan/hari</t>
  </si>
  <si>
    <t>100.000 – 500.000</t>
  </si>
  <si>
    <t>600.000 – 1.000.000</t>
  </si>
  <si>
    <t>2.000.000 – 5.000.000</t>
  </si>
  <si>
    <t>&gt; 10.000.000</t>
  </si>
  <si>
    <t>Sub-Kriteria C4</t>
  </si>
  <si>
    <t>Sub-kriteria C3</t>
  </si>
  <si>
    <t>Sub-kriteria C2</t>
  </si>
  <si>
    <t xml:space="preserve">Sub-kriteria C1 </t>
  </si>
  <si>
    <t>500.001 - 1.000.000</t>
  </si>
  <si>
    <t>1.000.001 – 5.000.000</t>
  </si>
  <si>
    <t>5.000.001 – 10.000.000</t>
  </si>
  <si>
    <t>Sub-Kriteria C5</t>
  </si>
  <si>
    <t>8 – 10</t>
  </si>
  <si>
    <t>1 – 20</t>
  </si>
  <si>
    <t>21 – 40</t>
  </si>
  <si>
    <t>41 – 60</t>
  </si>
  <si>
    <t>61 – 80</t>
  </si>
  <si>
    <t>5 – 7</t>
  </si>
  <si>
    <t>3 – 4</t>
  </si>
  <si>
    <t>1 – 2</t>
  </si>
  <si>
    <t>6.000.000 – 10.000.000</t>
  </si>
  <si>
    <t>Normalisasi Matriks pada Metode VIKOR</t>
  </si>
  <si>
    <t xml:space="preserve">Perbaikan bobot </t>
  </si>
  <si>
    <t>Perkalian antara bobot dan hasil normalisasi matriks</t>
  </si>
  <si>
    <t>Nama UMKM</t>
  </si>
  <si>
    <t>RM Padang Sakinah</t>
  </si>
  <si>
    <t>A1</t>
  </si>
  <si>
    <t xml:space="preserve">A2 </t>
  </si>
  <si>
    <t>Soto Kesawan</t>
  </si>
  <si>
    <t xml:space="preserve">A3 </t>
  </si>
  <si>
    <t xml:space="preserve"> Kedai Kopi Apek</t>
  </si>
  <si>
    <t xml:space="preserve">A4 </t>
  </si>
  <si>
    <t xml:space="preserve"> Jambul Seafood</t>
  </si>
  <si>
    <t xml:space="preserve">A5 </t>
  </si>
  <si>
    <t>RM Berjaya</t>
  </si>
  <si>
    <t>Penentuan nilai Si dan Ri</t>
  </si>
  <si>
    <t>Nilai Si</t>
  </si>
  <si>
    <t>Nilai Ri</t>
  </si>
  <si>
    <t>Minimum</t>
  </si>
  <si>
    <t>Maximum</t>
  </si>
  <si>
    <t>Penentuan nilai index</t>
  </si>
  <si>
    <t>Nilai Qi</t>
  </si>
  <si>
    <t>Rumus Perbaikan Bobot: wj = w/jumlah keseluruhan bobot (w1, w2, ….. , wn)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</si>
</sst>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Arial"/>
      <family val="2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sz val="8"/>
      <name val="Calibri"/>
      <family val="2"/>
      <scheme val="minor"/>
    </font>
    <font>
      <sz val="11"/>
      <color theme="0"/>
      <name val="Times New Roman"/>
      <family val="1"/>
    </font>
    <font>
      <sz val="11"/>
      <name val="Times New Roman"/>
      <family val="1"/>
    </font>
    <font>
      <b/>
      <sz val="11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5" fillId="0" borderId="0" xfId="0" applyFont="1"/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 readingOrder="1"/>
    </xf>
    <xf numFmtId="2" fontId="0" fillId="0" borderId="0" xfId="0" applyNumberFormat="1"/>
    <xf numFmtId="0" fontId="5" fillId="0" borderId="0" xfId="0" applyFont="1" applyAlignment="1">
      <alignment horizontal="center" vertical="center"/>
    </xf>
    <xf numFmtId="16" fontId="4" fillId="0" borderId="0" xfId="0" applyNumberFormat="1" applyFont="1" applyAlignment="1">
      <alignment horizontal="center" vertical="center" wrapText="1" readingOrder="1"/>
    </xf>
    <xf numFmtId="0" fontId="4" fillId="0" borderId="1" xfId="0" applyFont="1" applyBorder="1" applyAlignment="1">
      <alignment horizontal="center" vertical="center" wrapText="1" readingOrder="1"/>
    </xf>
    <xf numFmtId="0" fontId="5" fillId="0" borderId="9" xfId="0" applyFont="1" applyBorder="1"/>
    <xf numFmtId="0" fontId="4" fillId="0" borderId="6" xfId="0" applyFont="1" applyBorder="1" applyAlignment="1">
      <alignment horizontal="center" vertical="center" wrapText="1" readingOrder="1"/>
    </xf>
    <xf numFmtId="17" fontId="4" fillId="0" borderId="1" xfId="0" applyNumberFormat="1" applyFont="1" applyBorder="1" applyAlignment="1">
      <alignment horizontal="center" vertical="center" wrapText="1" readingOrder="1"/>
    </xf>
    <xf numFmtId="0" fontId="7" fillId="2" borderId="1" xfId="0" applyFont="1" applyFill="1" applyBorder="1" applyAlignment="1">
      <alignment horizontal="center" vertical="center" wrapText="1" readingOrder="1"/>
    </xf>
    <xf numFmtId="0" fontId="7" fillId="2" borderId="6" xfId="0" applyFont="1" applyFill="1" applyBorder="1" applyAlignment="1">
      <alignment horizontal="center" vertical="center" wrapText="1" readingOrder="1"/>
    </xf>
    <xf numFmtId="0" fontId="7" fillId="0" borderId="0" xfId="0" applyFont="1"/>
    <xf numFmtId="0" fontId="0" fillId="0" borderId="9" xfId="0" applyBorder="1"/>
    <xf numFmtId="0" fontId="5" fillId="0" borderId="2" xfId="0" applyFont="1" applyBorder="1"/>
    <xf numFmtId="0" fontId="7" fillId="3" borderId="1" xfId="0" applyFont="1" applyFill="1" applyBorder="1" applyAlignment="1">
      <alignment horizontal="center" vertical="center" wrapText="1" readingOrder="1"/>
    </xf>
    <xf numFmtId="0" fontId="7" fillId="3" borderId="6" xfId="0" applyFont="1" applyFill="1" applyBorder="1" applyAlignment="1">
      <alignment horizontal="center" vertical="center" wrapText="1" readingOrder="1"/>
    </xf>
    <xf numFmtId="0" fontId="8" fillId="0" borderId="1" xfId="0" applyFont="1" applyBorder="1" applyAlignment="1">
      <alignment horizontal="center" vertical="center" wrapText="1" readingOrder="1"/>
    </xf>
    <xf numFmtId="0" fontId="8" fillId="0" borderId="6" xfId="0" applyFont="1" applyBorder="1" applyAlignment="1">
      <alignment horizontal="center" vertical="center" wrapText="1" readingOrder="1"/>
    </xf>
    <xf numFmtId="0" fontId="8" fillId="0" borderId="7" xfId="0" applyFont="1" applyBorder="1" applyAlignment="1">
      <alignment horizontal="center" vertical="center" wrapText="1" readingOrder="1"/>
    </xf>
    <xf numFmtId="0" fontId="8" fillId="0" borderId="10" xfId="0" applyFont="1" applyBorder="1" applyAlignment="1">
      <alignment horizontal="center" vertical="center" wrapText="1" readingOrder="1"/>
    </xf>
    <xf numFmtId="0" fontId="4" fillId="0" borderId="7" xfId="0" applyFont="1" applyBorder="1" applyAlignment="1">
      <alignment horizontal="center" vertical="center" wrapText="1" readingOrder="1"/>
    </xf>
    <xf numFmtId="0" fontId="4" fillId="0" borderId="10" xfId="0" applyFont="1" applyBorder="1" applyAlignment="1">
      <alignment horizontal="center" vertical="center" wrapText="1" readingOrder="1"/>
    </xf>
    <xf numFmtId="0" fontId="5" fillId="0" borderId="4" xfId="0" applyFont="1" applyBorder="1"/>
    <xf numFmtId="0" fontId="4" fillId="0" borderId="4" xfId="0" applyFont="1" applyBorder="1" applyAlignment="1">
      <alignment horizontal="center" vertical="center" wrapText="1" readingOrder="1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 readingOrder="1"/>
    </xf>
    <xf numFmtId="0" fontId="5" fillId="4" borderId="5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 readingOrder="1"/>
    </xf>
    <xf numFmtId="0" fontId="5" fillId="0" borderId="1" xfId="0" applyFont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7" fillId="5" borderId="1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5" fillId="4" borderId="7" xfId="0" applyFont="1" applyFill="1" applyBorder="1"/>
    <xf numFmtId="0" fontId="5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247650</xdr:colOff>
      <xdr:row>31</xdr:row>
      <xdr:rowOff>400050</xdr:rowOff>
    </xdr:from>
    <xdr:to>
      <xdr:col>13</xdr:col>
      <xdr:colOff>425474</xdr:colOff>
      <xdr:row>39</xdr:row>
      <xdr:rowOff>151917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FCF8B98-4446-2808-5911-0F94C0AF43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902450" y="8020050"/>
          <a:ext cx="3429024" cy="1498117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  <xdr:twoCellAnchor editAs="oneCell">
    <xdr:from>
      <xdr:col>9</xdr:col>
      <xdr:colOff>63500</xdr:colOff>
      <xdr:row>43</xdr:row>
      <xdr:rowOff>146050</xdr:rowOff>
    </xdr:from>
    <xdr:to>
      <xdr:col>13</xdr:col>
      <xdr:colOff>397286</xdr:colOff>
      <xdr:row>50</xdr:row>
      <xdr:rowOff>85896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0FF703D-0F56-54C6-A813-DD3CD66802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59650" y="10420350"/>
          <a:ext cx="2943636" cy="1228896"/>
        </a:xfrm>
        <a:prstGeom prst="rect">
          <a:avLst/>
        </a:prstGeom>
      </xdr:spPr>
    </xdr:pic>
    <xdr:clientData/>
  </xdr:twoCellAnchor>
  <xdr:twoCellAnchor editAs="oneCell">
    <xdr:from>
      <xdr:col>3</xdr:col>
      <xdr:colOff>488950</xdr:colOff>
      <xdr:row>58</xdr:row>
      <xdr:rowOff>171450</xdr:rowOff>
    </xdr:from>
    <xdr:to>
      <xdr:col>7</xdr:col>
      <xdr:colOff>309584</xdr:colOff>
      <xdr:row>63</xdr:row>
      <xdr:rowOff>163417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EA5E743-87B9-8FB5-DE0B-9A875A7D64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3892550" y="13208000"/>
          <a:ext cx="3071834" cy="912717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  <xdr:twoCellAnchor editAs="oneCell">
    <xdr:from>
      <xdr:col>3</xdr:col>
      <xdr:colOff>476250</xdr:colOff>
      <xdr:row>65</xdr:row>
      <xdr:rowOff>55570</xdr:rowOff>
    </xdr:from>
    <xdr:to>
      <xdr:col>7</xdr:col>
      <xdr:colOff>296918</xdr:colOff>
      <xdr:row>70</xdr:row>
      <xdr:rowOff>63514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89657EB-F2F0-B9F1-C843-BCF2222810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3879850" y="14381170"/>
          <a:ext cx="3071868" cy="928694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  <xdr:twoCellAnchor editAs="oneCell">
    <xdr:from>
      <xdr:col>3</xdr:col>
      <xdr:colOff>196850</xdr:colOff>
      <xdr:row>72</xdr:row>
      <xdr:rowOff>50800</xdr:rowOff>
    </xdr:from>
    <xdr:to>
      <xdr:col>9</xdr:col>
      <xdr:colOff>1162084</xdr:colOff>
      <xdr:row>77</xdr:row>
      <xdr:rowOff>20107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CB57709-309E-2BC5-B777-1AD1237D26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3600450" y="15665450"/>
          <a:ext cx="4857784" cy="890057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8"/>
  <sheetViews>
    <sheetView tabSelected="1" topLeftCell="A55" workbookViewId="0">
      <selection activeCell="C74" sqref="C74"/>
    </sheetView>
  </sheetViews>
  <sheetFormatPr defaultRowHeight="14.5" x14ac:dyDescent="0.35"/>
  <cols>
    <col min="1" max="1" width="21.26953125" bestFit="1" customWidth="1"/>
    <col min="2" max="2" width="17.36328125" customWidth="1"/>
    <col min="3" max="3" width="10.08984375" customWidth="1"/>
    <col min="4" max="4" width="11.90625" customWidth="1"/>
    <col min="5" max="5" width="12.26953125" bestFit="1" customWidth="1"/>
    <col min="6" max="6" width="13.6328125" bestFit="1" customWidth="1"/>
    <col min="8" max="8" width="4.54296875" customWidth="1"/>
    <col min="9" max="9" width="4.6328125" bestFit="1" customWidth="1"/>
    <col min="10" max="10" width="17" customWidth="1"/>
    <col min="11" max="11" width="6.54296875" bestFit="1" customWidth="1"/>
    <col min="12" max="12" width="5.08984375" customWidth="1"/>
    <col min="14" max="14" width="25.26953125" customWidth="1"/>
    <col min="17" max="17" width="10.6328125" customWidth="1"/>
    <col min="18" max="18" width="18.6328125" customWidth="1"/>
  </cols>
  <sheetData>
    <row r="1" spans="1:19" ht="28" x14ac:dyDescent="0.35">
      <c r="A1" s="2" t="s">
        <v>10</v>
      </c>
      <c r="B1" s="2" t="s">
        <v>18</v>
      </c>
      <c r="C1" s="2" t="s">
        <v>19</v>
      </c>
      <c r="D1" s="3"/>
      <c r="E1" s="38" t="s">
        <v>67</v>
      </c>
      <c r="F1" s="38" t="s">
        <v>17</v>
      </c>
      <c r="G1" s="7"/>
      <c r="H1" s="4"/>
      <c r="I1" s="7"/>
      <c r="J1" s="7"/>
      <c r="K1" s="7"/>
      <c r="M1" s="7"/>
      <c r="N1" s="7"/>
      <c r="O1" s="7"/>
    </row>
    <row r="2" spans="1:19" ht="28" x14ac:dyDescent="0.35">
      <c r="A2" s="5" t="s">
        <v>20</v>
      </c>
      <c r="B2" s="5" t="s">
        <v>21</v>
      </c>
      <c r="C2" s="5">
        <v>5</v>
      </c>
      <c r="D2" s="6"/>
      <c r="E2" s="11" t="s">
        <v>68</v>
      </c>
      <c r="F2" s="39" t="s">
        <v>69</v>
      </c>
      <c r="G2" s="7"/>
      <c r="H2" s="4"/>
      <c r="I2" s="7"/>
      <c r="J2" s="7"/>
      <c r="K2" s="7"/>
    </row>
    <row r="3" spans="1:19" ht="19.5" customHeight="1" x14ac:dyDescent="0.35">
      <c r="A3" s="5" t="s">
        <v>22</v>
      </c>
      <c r="B3" s="5" t="s">
        <v>23</v>
      </c>
      <c r="C3" s="5">
        <v>4</v>
      </c>
      <c r="D3" s="6"/>
      <c r="E3" s="11" t="s">
        <v>71</v>
      </c>
      <c r="F3" s="39" t="s">
        <v>70</v>
      </c>
      <c r="G3" s="7"/>
      <c r="H3" s="4"/>
      <c r="I3" s="7"/>
      <c r="J3" s="7"/>
      <c r="K3" s="7"/>
      <c r="N3" s="8"/>
    </row>
    <row r="4" spans="1:19" ht="28" x14ac:dyDescent="0.35">
      <c r="A4" s="5" t="s">
        <v>24</v>
      </c>
      <c r="B4" s="5" t="s">
        <v>25</v>
      </c>
      <c r="C4" s="5">
        <v>3</v>
      </c>
      <c r="D4" s="6"/>
      <c r="E4" s="11" t="s">
        <v>73</v>
      </c>
      <c r="F4" s="39" t="s">
        <v>72</v>
      </c>
      <c r="G4" s="7"/>
      <c r="H4" s="4"/>
      <c r="I4" s="7"/>
      <c r="J4" s="7"/>
      <c r="K4" s="7"/>
    </row>
    <row r="5" spans="1:19" ht="27.5" customHeight="1" x14ac:dyDescent="0.35">
      <c r="A5" s="5" t="s">
        <v>26</v>
      </c>
      <c r="B5" s="5" t="s">
        <v>27</v>
      </c>
      <c r="C5" s="5">
        <v>3</v>
      </c>
      <c r="D5" s="6"/>
      <c r="E5" s="11" t="s">
        <v>75</v>
      </c>
      <c r="F5" s="39" t="s">
        <v>74</v>
      </c>
      <c r="G5" s="7"/>
      <c r="H5" s="4"/>
      <c r="I5" s="7"/>
      <c r="J5" s="7"/>
      <c r="K5" s="7"/>
    </row>
    <row r="6" spans="1:19" x14ac:dyDescent="0.35">
      <c r="A6" s="5" t="s">
        <v>28</v>
      </c>
      <c r="B6" s="5" t="s">
        <v>29</v>
      </c>
      <c r="C6" s="5">
        <v>2</v>
      </c>
      <c r="D6" s="6"/>
      <c r="E6" s="11" t="s">
        <v>77</v>
      </c>
      <c r="F6" s="39" t="s">
        <v>76</v>
      </c>
      <c r="G6" s="7"/>
      <c r="H6" s="4"/>
      <c r="I6" s="4"/>
      <c r="J6" s="4"/>
      <c r="K6" s="4"/>
    </row>
    <row r="7" spans="1:19" x14ac:dyDescent="0.35">
      <c r="A7" s="48" t="s">
        <v>30</v>
      </c>
      <c r="B7" s="4"/>
      <c r="C7" s="4"/>
      <c r="D7" s="4"/>
      <c r="E7" s="4" t="s">
        <v>17</v>
      </c>
      <c r="F7" s="4"/>
      <c r="G7" s="4"/>
      <c r="H7" s="4"/>
      <c r="I7" s="4"/>
      <c r="J7" s="4"/>
      <c r="K7" s="4"/>
    </row>
    <row r="8" spans="1:19" x14ac:dyDescent="0.35">
      <c r="B8" s="4"/>
      <c r="C8" s="4"/>
      <c r="D8" s="4"/>
      <c r="E8" s="4"/>
      <c r="F8" s="4"/>
      <c r="G8" s="4"/>
      <c r="H8" s="4"/>
      <c r="I8" s="4"/>
      <c r="J8" s="4"/>
      <c r="K8" s="4"/>
    </row>
    <row r="9" spans="1:19" x14ac:dyDescent="0.35">
      <c r="B9" s="4"/>
      <c r="C9" s="4"/>
      <c r="D9" s="4"/>
      <c r="E9" s="4"/>
      <c r="F9" s="4"/>
      <c r="G9" s="4"/>
      <c r="H9" s="4"/>
      <c r="I9" s="12"/>
      <c r="J9" s="12"/>
      <c r="K9" s="12"/>
      <c r="M9" s="18"/>
      <c r="N9" s="18"/>
      <c r="O9" s="18"/>
      <c r="Q9" s="18"/>
      <c r="R9" s="18"/>
      <c r="S9" s="18"/>
    </row>
    <row r="10" spans="1:19" ht="28" x14ac:dyDescent="0.35">
      <c r="A10" s="15" t="s">
        <v>31</v>
      </c>
      <c r="B10" s="15" t="s">
        <v>32</v>
      </c>
      <c r="C10" s="15" t="s">
        <v>33</v>
      </c>
      <c r="D10" s="9"/>
      <c r="E10" s="15" t="s">
        <v>31</v>
      </c>
      <c r="F10" s="15" t="s">
        <v>23</v>
      </c>
      <c r="G10" s="15" t="s">
        <v>33</v>
      </c>
      <c r="H10" s="17"/>
      <c r="I10" s="15" t="s">
        <v>31</v>
      </c>
      <c r="J10" s="15" t="s">
        <v>25</v>
      </c>
      <c r="K10" s="15" t="s">
        <v>33</v>
      </c>
      <c r="L10" s="19"/>
      <c r="M10" s="15" t="s">
        <v>31</v>
      </c>
      <c r="N10" s="15" t="s">
        <v>42</v>
      </c>
      <c r="O10" s="16" t="s">
        <v>33</v>
      </c>
      <c r="P10" s="19"/>
      <c r="Q10" s="20" t="s">
        <v>31</v>
      </c>
      <c r="R10" s="21" t="s">
        <v>29</v>
      </c>
      <c r="S10" s="20" t="s">
        <v>33</v>
      </c>
    </row>
    <row r="11" spans="1:19" x14ac:dyDescent="0.35">
      <c r="A11" s="11">
        <v>1</v>
      </c>
      <c r="B11" s="11" t="s">
        <v>41</v>
      </c>
      <c r="C11" s="11">
        <v>1</v>
      </c>
      <c r="D11" s="33"/>
      <c r="E11" s="11">
        <v>1</v>
      </c>
      <c r="F11" s="11" t="s">
        <v>34</v>
      </c>
      <c r="G11" s="11">
        <v>1</v>
      </c>
      <c r="H11" s="4"/>
      <c r="I11" s="11">
        <v>1</v>
      </c>
      <c r="J11" s="11" t="s">
        <v>38</v>
      </c>
      <c r="K11" s="11">
        <v>1</v>
      </c>
      <c r="L11" s="19"/>
      <c r="M11" s="11">
        <v>1</v>
      </c>
      <c r="N11" s="11" t="s">
        <v>43</v>
      </c>
      <c r="O11" s="13">
        <v>1</v>
      </c>
      <c r="P11" s="19"/>
      <c r="Q11" s="22">
        <v>1</v>
      </c>
      <c r="R11" s="23" t="s">
        <v>43</v>
      </c>
      <c r="S11" s="22">
        <v>1</v>
      </c>
    </row>
    <row r="12" spans="1:19" x14ac:dyDescent="0.35">
      <c r="A12" s="11">
        <v>2</v>
      </c>
      <c r="B12" s="11" t="s">
        <v>59</v>
      </c>
      <c r="C12" s="11">
        <v>0.75</v>
      </c>
      <c r="D12" s="33"/>
      <c r="E12" s="11">
        <v>2</v>
      </c>
      <c r="F12" s="11" t="s">
        <v>35</v>
      </c>
      <c r="G12" s="11">
        <v>0.75</v>
      </c>
      <c r="H12" s="4"/>
      <c r="I12" s="11">
        <v>2</v>
      </c>
      <c r="J12" s="11" t="s">
        <v>55</v>
      </c>
      <c r="K12" s="11">
        <v>0.75</v>
      </c>
      <c r="L12" s="19"/>
      <c r="M12" s="11">
        <v>2</v>
      </c>
      <c r="N12" s="11" t="s">
        <v>44</v>
      </c>
      <c r="O12" s="13">
        <v>0.75</v>
      </c>
      <c r="P12" s="19"/>
      <c r="Q12" s="24">
        <v>2</v>
      </c>
      <c r="R12" s="25" t="s">
        <v>51</v>
      </c>
      <c r="S12" s="24">
        <v>0.75</v>
      </c>
    </row>
    <row r="13" spans="1:19" ht="28" x14ac:dyDescent="0.35">
      <c r="A13" s="11">
        <v>3</v>
      </c>
      <c r="B13" s="11" t="s">
        <v>58</v>
      </c>
      <c r="C13" s="11">
        <v>0.5</v>
      </c>
      <c r="D13" s="33"/>
      <c r="E13" s="11">
        <v>3</v>
      </c>
      <c r="F13" s="11" t="s">
        <v>36</v>
      </c>
      <c r="G13" s="11">
        <v>0.5</v>
      </c>
      <c r="H13" s="4"/>
      <c r="I13" s="11">
        <v>3</v>
      </c>
      <c r="J13" s="11" t="s">
        <v>60</v>
      </c>
      <c r="K13" s="11">
        <v>0.5</v>
      </c>
      <c r="L13" s="19"/>
      <c r="M13" s="11">
        <v>3</v>
      </c>
      <c r="N13" s="11" t="s">
        <v>45</v>
      </c>
      <c r="O13" s="13">
        <v>0.5</v>
      </c>
      <c r="P13" s="19"/>
      <c r="Q13" s="24">
        <v>3</v>
      </c>
      <c r="R13" s="25" t="s">
        <v>52</v>
      </c>
      <c r="S13" s="24">
        <v>0.5</v>
      </c>
    </row>
    <row r="14" spans="1:19" ht="28" x14ac:dyDescent="0.35">
      <c r="A14" s="11">
        <v>4</v>
      </c>
      <c r="B14" s="11" t="s">
        <v>57</v>
      </c>
      <c r="C14" s="11">
        <v>0.35</v>
      </c>
      <c r="D14" s="33"/>
      <c r="E14" s="11">
        <v>4</v>
      </c>
      <c r="F14" s="11" t="s">
        <v>37</v>
      </c>
      <c r="G14" s="11">
        <v>0.35</v>
      </c>
      <c r="H14" s="4"/>
      <c r="I14" s="11">
        <v>4</v>
      </c>
      <c r="J14" s="11" t="s">
        <v>61</v>
      </c>
      <c r="K14" s="11">
        <v>0.35</v>
      </c>
      <c r="L14" s="19"/>
      <c r="M14" s="11">
        <v>4</v>
      </c>
      <c r="N14" s="11" t="s">
        <v>63</v>
      </c>
      <c r="O14" s="13">
        <v>0.35</v>
      </c>
      <c r="P14" s="19"/>
      <c r="Q14" s="22">
        <v>4</v>
      </c>
      <c r="R14" s="23" t="s">
        <v>53</v>
      </c>
      <c r="S14" s="22">
        <v>0.35</v>
      </c>
    </row>
    <row r="15" spans="1:19" x14ac:dyDescent="0.35">
      <c r="A15" s="11">
        <v>5</v>
      </c>
      <c r="B15" s="14" t="s">
        <v>56</v>
      </c>
      <c r="C15" s="11">
        <v>0.15</v>
      </c>
      <c r="D15" s="33"/>
      <c r="E15" s="9"/>
      <c r="F15" s="9" t="s">
        <v>49</v>
      </c>
      <c r="G15" s="4"/>
      <c r="H15" s="4"/>
      <c r="I15" s="11">
        <v>5</v>
      </c>
      <c r="J15" s="11" t="s">
        <v>62</v>
      </c>
      <c r="K15" s="11">
        <v>0.15</v>
      </c>
      <c r="L15" s="19"/>
      <c r="M15" s="26">
        <v>5</v>
      </c>
      <c r="N15" s="26" t="s">
        <v>46</v>
      </c>
      <c r="O15" s="27">
        <v>0.15</v>
      </c>
      <c r="P15" s="19"/>
      <c r="Q15" s="22">
        <v>5</v>
      </c>
      <c r="R15" s="23" t="s">
        <v>46</v>
      </c>
      <c r="S15" s="22">
        <v>0.15</v>
      </c>
    </row>
    <row r="16" spans="1:19" ht="34.5" customHeight="1" x14ac:dyDescent="0.35">
      <c r="A16" s="28"/>
      <c r="B16" s="30" t="s">
        <v>50</v>
      </c>
      <c r="C16" s="4"/>
      <c r="D16" s="4"/>
      <c r="E16" s="4"/>
      <c r="F16" s="4"/>
      <c r="G16" s="4"/>
      <c r="H16" s="4"/>
      <c r="I16" s="4"/>
      <c r="J16" s="10" t="s">
        <v>48</v>
      </c>
      <c r="K16" s="4"/>
      <c r="L16" s="4"/>
      <c r="M16" s="28"/>
      <c r="N16" s="29" t="s">
        <v>47</v>
      </c>
      <c r="O16" s="4"/>
      <c r="P16" s="4"/>
      <c r="Q16" s="4"/>
      <c r="R16" s="30" t="s">
        <v>54</v>
      </c>
      <c r="S16" s="4"/>
    </row>
    <row r="17" spans="1:6" x14ac:dyDescent="0.35">
      <c r="A17" s="37" t="s">
        <v>17</v>
      </c>
      <c r="B17" s="34"/>
      <c r="C17" s="35"/>
      <c r="D17" s="35" t="s">
        <v>10</v>
      </c>
      <c r="E17" s="35"/>
      <c r="F17" s="36"/>
    </row>
    <row r="18" spans="1:6" x14ac:dyDescent="0.35">
      <c r="A18" s="47"/>
      <c r="B18" s="37" t="s">
        <v>20</v>
      </c>
      <c r="C18" s="37" t="s">
        <v>39</v>
      </c>
      <c r="D18" s="37" t="s">
        <v>40</v>
      </c>
      <c r="E18" s="37" t="s">
        <v>26</v>
      </c>
      <c r="F18" s="37" t="s">
        <v>28</v>
      </c>
    </row>
    <row r="19" spans="1:6" ht="28" x14ac:dyDescent="0.35">
      <c r="A19" s="31" t="s">
        <v>5</v>
      </c>
      <c r="B19" s="11">
        <v>150</v>
      </c>
      <c r="C19" s="11" t="s">
        <v>34</v>
      </c>
      <c r="D19" s="11">
        <v>10</v>
      </c>
      <c r="E19" s="11">
        <v>6000000</v>
      </c>
      <c r="F19" s="11">
        <v>20000000</v>
      </c>
    </row>
    <row r="20" spans="1:6" ht="19" customHeight="1" x14ac:dyDescent="0.35">
      <c r="A20" s="31" t="s">
        <v>6</v>
      </c>
      <c r="B20" s="11">
        <v>30</v>
      </c>
      <c r="C20" s="11" t="s">
        <v>35</v>
      </c>
      <c r="D20" s="11">
        <v>2</v>
      </c>
      <c r="E20" s="11">
        <v>300000</v>
      </c>
      <c r="F20" s="11">
        <v>1000000</v>
      </c>
    </row>
    <row r="21" spans="1:6" ht="12" customHeight="1" x14ac:dyDescent="0.35">
      <c r="A21" s="31" t="s">
        <v>7</v>
      </c>
      <c r="B21" s="11">
        <v>50</v>
      </c>
      <c r="C21" s="11" t="s">
        <v>36</v>
      </c>
      <c r="D21" s="11">
        <v>5</v>
      </c>
      <c r="E21" s="11">
        <v>600000</v>
      </c>
      <c r="F21" s="11">
        <v>5000000</v>
      </c>
    </row>
    <row r="22" spans="1:6" x14ac:dyDescent="0.35">
      <c r="A22" s="31" t="s">
        <v>8</v>
      </c>
      <c r="B22" s="11">
        <v>80</v>
      </c>
      <c r="C22" s="11" t="s">
        <v>35</v>
      </c>
      <c r="D22" s="11">
        <v>8</v>
      </c>
      <c r="E22" s="11">
        <v>1000000</v>
      </c>
      <c r="F22" s="11">
        <v>10000000</v>
      </c>
    </row>
    <row r="23" spans="1:6" x14ac:dyDescent="0.35">
      <c r="A23" s="31" t="s">
        <v>9</v>
      </c>
      <c r="B23" s="11">
        <v>90</v>
      </c>
      <c r="C23" s="11" t="s">
        <v>35</v>
      </c>
      <c r="D23" s="11">
        <v>6</v>
      </c>
      <c r="E23" s="11">
        <v>4000000</v>
      </c>
      <c r="F23" s="11">
        <v>15000000</v>
      </c>
    </row>
    <row r="24" spans="1:6" ht="28" customHeight="1" x14ac:dyDescent="0.35">
      <c r="A24" s="32"/>
      <c r="B24" s="33"/>
      <c r="C24" s="33"/>
      <c r="D24" s="33"/>
      <c r="E24" s="33"/>
      <c r="F24" s="33"/>
    </row>
    <row r="25" spans="1:6" x14ac:dyDescent="0.35">
      <c r="A25" s="37" t="s">
        <v>17</v>
      </c>
      <c r="B25" s="34"/>
      <c r="C25" s="35"/>
      <c r="D25" s="35" t="s">
        <v>10</v>
      </c>
      <c r="E25" s="35"/>
      <c r="F25" s="36"/>
    </row>
    <row r="26" spans="1:6" x14ac:dyDescent="0.35">
      <c r="A26" s="47"/>
      <c r="B26" s="37" t="s">
        <v>20</v>
      </c>
      <c r="C26" s="37" t="s">
        <v>39</v>
      </c>
      <c r="D26" s="37" t="s">
        <v>40</v>
      </c>
      <c r="E26" s="37" t="s">
        <v>26</v>
      </c>
      <c r="F26" s="37" t="s">
        <v>28</v>
      </c>
    </row>
    <row r="27" spans="1:6" ht="30.5" customHeight="1" x14ac:dyDescent="0.35">
      <c r="A27" s="31" t="s">
        <v>5</v>
      </c>
      <c r="B27" s="11">
        <f>IF($B19&gt;100, $C$11, IF($B19&gt;=61, $C$12, IF($B19&gt;=41, $C$13, IF($B19&gt;=21, $C$14, IF($B19&gt;=1,$C$15, "")))))</f>
        <v>1</v>
      </c>
      <c r="C27" s="11">
        <f>IF($C19="Sangat Baik", $G$11, IF($C19="Baik", $G$12, IF($C19="Cukup", $G$13, IF($C19="Kurang", $G$14, ""))))</f>
        <v>1</v>
      </c>
      <c r="D27" s="11">
        <f>IF($D19&gt;10, $K$11, IF($D19&gt;=8, $K$12, IF($D19&gt;=5, $K$13, IF($D19&gt;=3, $K$14, IF($D19&gt;=1,$K$15, "")))))</f>
        <v>0.75</v>
      </c>
      <c r="E27" s="11">
        <f>IF($E19&gt;10000000, $O$15, IF($E19&gt;=6000000, $O$14, IF($E19&gt;=2000000, $O$13, IF($E19&gt;=600000, $O$12, IF($E19&gt;=100000, $O$11, "")))))</f>
        <v>0.35</v>
      </c>
      <c r="F27" s="11">
        <f>IF($F19&gt;10000000, $S$15, IF($F19&gt;=6000000, $S$14, IF($F19&gt;=2000000, $S$13, IF($F19&gt;=600000, $S$12, IF($F19&gt;=100000, $S$11, "")))))</f>
        <v>0.15</v>
      </c>
    </row>
    <row r="28" spans="1:6" x14ac:dyDescent="0.35">
      <c r="A28" s="31" t="s">
        <v>6</v>
      </c>
      <c r="B28" s="11">
        <f t="shared" ref="B28:B31" si="0">IF($B20&gt;100, $C$11, IF($B20&gt;=61, $C$12, IF($B20&gt;=41, $C$13, IF($B20&gt;=21, $C$14, IF($B20&gt;=1,$C$15, "")))))</f>
        <v>0.35</v>
      </c>
      <c r="C28" s="11">
        <f t="shared" ref="C28:C31" si="1">IF($C20="Sangat Baik", $G$11, IF($C20="Baik", $G$12, IF($C20="Cukup", $G$13, IF($C20="Kurang", $G$14, ""))))</f>
        <v>0.75</v>
      </c>
      <c r="D28" s="11">
        <f t="shared" ref="D28:D31" si="2">IF($D20&gt;10, $K$11, IF($D20&gt;=8, $K$12, IF($D20&gt;=5, $K$13, IF($D20&gt;=3, $K$14, IF($D20&gt;=1,$K$15, "")))))</f>
        <v>0.15</v>
      </c>
      <c r="E28" s="11">
        <f t="shared" ref="E28:E31" si="3">IF($E20&gt;10000000, $O$15, IF($E20&gt;=6000000, $O$14, IF($E20&gt;=2000000, $O$13, IF($E20&gt;=600000, $O$12, IF($E20&gt;=100000, $O$11, "")))))</f>
        <v>1</v>
      </c>
      <c r="F28" s="11">
        <f t="shared" ref="F28:F31" si="4">IF($F20&gt;10000000, $S$15, IF($F20&gt;=6000000, $S$14, IF($F20&gt;=2000000, $S$13, IF($F20&gt;=600000, $S$12, IF($F20&gt;=100000, $S$11, "")))))</f>
        <v>0.75</v>
      </c>
    </row>
    <row r="29" spans="1:6" x14ac:dyDescent="0.35">
      <c r="A29" s="31" t="s">
        <v>7</v>
      </c>
      <c r="B29" s="11">
        <f t="shared" si="0"/>
        <v>0.5</v>
      </c>
      <c r="C29" s="11">
        <f t="shared" si="1"/>
        <v>0.5</v>
      </c>
      <c r="D29" s="11">
        <f t="shared" si="2"/>
        <v>0.5</v>
      </c>
      <c r="E29" s="11">
        <f t="shared" si="3"/>
        <v>0.75</v>
      </c>
      <c r="F29" s="11">
        <f t="shared" si="4"/>
        <v>0.5</v>
      </c>
    </row>
    <row r="30" spans="1:6" x14ac:dyDescent="0.35">
      <c r="A30" s="31" t="s">
        <v>8</v>
      </c>
      <c r="B30" s="11">
        <f t="shared" si="0"/>
        <v>0.75</v>
      </c>
      <c r="C30" s="11">
        <f t="shared" si="1"/>
        <v>0.75</v>
      </c>
      <c r="D30" s="11">
        <f t="shared" si="2"/>
        <v>0.75</v>
      </c>
      <c r="E30" s="11">
        <f t="shared" si="3"/>
        <v>0.75</v>
      </c>
      <c r="F30" s="11">
        <f t="shared" si="4"/>
        <v>0.35</v>
      </c>
    </row>
    <row r="31" spans="1:6" x14ac:dyDescent="0.35">
      <c r="A31" s="31" t="s">
        <v>9</v>
      </c>
      <c r="B31" s="11">
        <f t="shared" si="0"/>
        <v>0.75</v>
      </c>
      <c r="C31" s="11">
        <f t="shared" si="1"/>
        <v>0.75</v>
      </c>
      <c r="D31" s="11">
        <f t="shared" si="2"/>
        <v>0.5</v>
      </c>
      <c r="E31" s="11">
        <f t="shared" si="3"/>
        <v>0.5</v>
      </c>
      <c r="F31" s="11">
        <f t="shared" si="4"/>
        <v>0.15</v>
      </c>
    </row>
    <row r="32" spans="1:6" ht="36" customHeight="1" x14ac:dyDescent="0.35">
      <c r="A32" s="32"/>
      <c r="B32" s="33"/>
      <c r="C32" s="33"/>
      <c r="D32" s="33"/>
      <c r="E32" s="33"/>
      <c r="F32" s="33"/>
    </row>
    <row r="33" spans="1:15" x14ac:dyDescent="0.35">
      <c r="A33" s="37" t="s">
        <v>17</v>
      </c>
      <c r="B33" s="34"/>
      <c r="C33" s="35"/>
      <c r="D33" s="35" t="s">
        <v>10</v>
      </c>
      <c r="E33" s="35"/>
      <c r="F33" s="36"/>
      <c r="O33" t="s">
        <v>85</v>
      </c>
    </row>
    <row r="34" spans="1:15" x14ac:dyDescent="0.35">
      <c r="A34" s="47"/>
      <c r="B34" s="37" t="s">
        <v>20</v>
      </c>
      <c r="C34" s="37" t="s">
        <v>39</v>
      </c>
      <c r="D34" s="37" t="s">
        <v>40</v>
      </c>
      <c r="E34" s="37" t="s">
        <v>26</v>
      </c>
      <c r="F34" s="37" t="s">
        <v>28</v>
      </c>
    </row>
    <row r="35" spans="1:15" x14ac:dyDescent="0.35">
      <c r="A35" s="31" t="s">
        <v>5</v>
      </c>
      <c r="B35" s="11">
        <f>(MAX($B$27:$B$31)-B27)/(MAX($B$27:$B$31)-MIN($B$27:$B$31))</f>
        <v>0</v>
      </c>
      <c r="C35" s="11">
        <f>(MAX($C$27:$C$31)-C27)/(MAX($C$27:$C$31)-MIN($C$27:$C$31))</f>
        <v>0</v>
      </c>
      <c r="D35" s="11">
        <f>(MAX($D$27:$D$31)-D27)/(MAX($D$27:$D$31)-MIN($D$27:$D$31))</f>
        <v>0</v>
      </c>
      <c r="E35" s="11">
        <f>(MAX($E$27:$E$31)-E27)/(MAX($E$27:$E$31)-MIN($E$27:$E$31))</f>
        <v>1</v>
      </c>
      <c r="F35" s="11">
        <f>(MAX($F$27:$F$31)-F27)/(MAX($F$27:$F$31)-MIN($F$27:$F$31))</f>
        <v>1</v>
      </c>
    </row>
    <row r="36" spans="1:15" x14ac:dyDescent="0.35">
      <c r="A36" s="31" t="s">
        <v>6</v>
      </c>
      <c r="B36" s="11">
        <f t="shared" ref="B36:B39" si="5">(MAX($B$27:$B$31)-B28)/(MAX($B$27:$B$31)-MIN($B$27:$B$31))</f>
        <v>1</v>
      </c>
      <c r="C36" s="11">
        <f t="shared" ref="C36:C39" si="6">(MAX($C$27:$C$31)-C28)/(MAX($C$27:$C$31)-MIN($C$27:$C$31))</f>
        <v>0.5</v>
      </c>
      <c r="D36" s="11">
        <f t="shared" ref="D36:D39" si="7">(MAX($D$27:$D$31)-D28)/(MAX($D$27:$D$31)-MIN($D$27:$D$31))</f>
        <v>1</v>
      </c>
      <c r="E36" s="11">
        <f t="shared" ref="E36:E39" si="8">(MAX($E$27:$E$31)-E28)/(MAX($E$27:$E$31)-MIN($E$27:$E$31))</f>
        <v>0</v>
      </c>
      <c r="F36" s="11">
        <f t="shared" ref="F36:F39" si="9">(MAX($F$27:$F$31)-F28)/(MAX($F$27:$F$31)-MIN($F$27:$F$31))</f>
        <v>0</v>
      </c>
    </row>
    <row r="37" spans="1:15" x14ac:dyDescent="0.35">
      <c r="A37" s="31" t="s">
        <v>7</v>
      </c>
      <c r="B37" s="11">
        <f t="shared" si="5"/>
        <v>0.76923076923076916</v>
      </c>
      <c r="C37" s="11">
        <f t="shared" si="6"/>
        <v>1</v>
      </c>
      <c r="D37" s="11">
        <f t="shared" si="7"/>
        <v>0.41666666666666669</v>
      </c>
      <c r="E37" s="11">
        <f t="shared" si="8"/>
        <v>0.38461538461538458</v>
      </c>
      <c r="F37" s="11">
        <f t="shared" si="9"/>
        <v>0.41666666666666669</v>
      </c>
    </row>
    <row r="38" spans="1:15" x14ac:dyDescent="0.35">
      <c r="A38" s="31" t="s">
        <v>8</v>
      </c>
      <c r="B38" s="11">
        <f t="shared" si="5"/>
        <v>0.38461538461538458</v>
      </c>
      <c r="C38" s="11">
        <f t="shared" si="6"/>
        <v>0.5</v>
      </c>
      <c r="D38" s="11">
        <f t="shared" si="7"/>
        <v>0</v>
      </c>
      <c r="E38" s="11">
        <f t="shared" si="8"/>
        <v>0.38461538461538458</v>
      </c>
      <c r="F38" s="11">
        <f t="shared" si="9"/>
        <v>0.66666666666666674</v>
      </c>
    </row>
    <row r="39" spans="1:15" x14ac:dyDescent="0.35">
      <c r="A39" s="39" t="s">
        <v>9</v>
      </c>
      <c r="B39" s="11">
        <f t="shared" si="5"/>
        <v>0.38461538461538458</v>
      </c>
      <c r="C39" s="11">
        <f t="shared" si="6"/>
        <v>0.5</v>
      </c>
      <c r="D39" s="11">
        <f t="shared" si="7"/>
        <v>0.41666666666666669</v>
      </c>
      <c r="E39" s="11">
        <f t="shared" si="8"/>
        <v>0.76923076923076916</v>
      </c>
      <c r="F39" s="11">
        <f t="shared" si="9"/>
        <v>1</v>
      </c>
    </row>
    <row r="40" spans="1:15" x14ac:dyDescent="0.35">
      <c r="B40" s="9"/>
      <c r="C40" s="9"/>
      <c r="D40" s="9"/>
      <c r="E40" s="9"/>
      <c r="F40" s="9"/>
    </row>
    <row r="41" spans="1:15" x14ac:dyDescent="0.35">
      <c r="A41" s="32"/>
      <c r="B41" s="33"/>
      <c r="C41" s="33"/>
      <c r="D41" s="33"/>
      <c r="E41" s="33"/>
      <c r="F41" s="33"/>
      <c r="J41" t="s">
        <v>64</v>
      </c>
    </row>
    <row r="42" spans="1:15" x14ac:dyDescent="0.35">
      <c r="A42" s="32"/>
      <c r="B42" s="33"/>
      <c r="C42" s="33"/>
      <c r="D42" s="33"/>
      <c r="E42" s="33"/>
      <c r="F42" s="33"/>
    </row>
    <row r="43" spans="1:15" ht="28" x14ac:dyDescent="0.35">
      <c r="A43" s="32"/>
      <c r="B43" s="33"/>
      <c r="C43" s="33"/>
      <c r="D43" s="38" t="s">
        <v>10</v>
      </c>
      <c r="E43" s="2" t="s">
        <v>19</v>
      </c>
      <c r="F43" s="38" t="s">
        <v>65</v>
      </c>
    </row>
    <row r="44" spans="1:15" x14ac:dyDescent="0.35">
      <c r="A44" s="32"/>
      <c r="B44" s="33"/>
      <c r="C44" s="33"/>
      <c r="D44" s="11" t="s">
        <v>20</v>
      </c>
      <c r="E44" s="5">
        <v>5</v>
      </c>
      <c r="F44" s="11">
        <f>E44/SUM($E$44:$E$48)</f>
        <v>0.29411764705882354</v>
      </c>
    </row>
    <row r="45" spans="1:15" x14ac:dyDescent="0.35">
      <c r="A45" s="32"/>
      <c r="B45" s="33"/>
      <c r="C45" s="33"/>
      <c r="D45" s="11" t="s">
        <v>22</v>
      </c>
      <c r="E45" s="5">
        <v>4</v>
      </c>
      <c r="F45" s="11">
        <f t="shared" ref="F45:F48" si="10">E45/SUM($E$44:$E$48)</f>
        <v>0.23529411764705882</v>
      </c>
    </row>
    <row r="46" spans="1:15" x14ac:dyDescent="0.35">
      <c r="D46" s="11" t="s">
        <v>24</v>
      </c>
      <c r="E46" s="5">
        <v>3</v>
      </c>
      <c r="F46" s="11">
        <f t="shared" si="10"/>
        <v>0.17647058823529413</v>
      </c>
    </row>
    <row r="47" spans="1:15" x14ac:dyDescent="0.35">
      <c r="D47" s="11" t="s">
        <v>26</v>
      </c>
      <c r="E47" s="5">
        <v>3</v>
      </c>
      <c r="F47" s="11">
        <f t="shared" si="10"/>
        <v>0.17647058823529413</v>
      </c>
    </row>
    <row r="48" spans="1:15" x14ac:dyDescent="0.35">
      <c r="D48" s="11" t="s">
        <v>28</v>
      </c>
      <c r="E48" s="5">
        <v>2</v>
      </c>
      <c r="F48" s="11">
        <f t="shared" si="10"/>
        <v>0.11764705882352941</v>
      </c>
    </row>
    <row r="51" spans="1:10" x14ac:dyDescent="0.35">
      <c r="A51" s="37" t="s">
        <v>17</v>
      </c>
      <c r="B51" s="34"/>
      <c r="C51" s="35"/>
      <c r="D51" s="35" t="s">
        <v>10</v>
      </c>
      <c r="E51" s="35"/>
      <c r="F51" s="36"/>
    </row>
    <row r="52" spans="1:10" x14ac:dyDescent="0.35">
      <c r="A52" s="47"/>
      <c r="B52" s="37" t="s">
        <v>20</v>
      </c>
      <c r="C52" s="37" t="s">
        <v>39</v>
      </c>
      <c r="D52" s="37" t="s">
        <v>40</v>
      </c>
      <c r="E52" s="37" t="s">
        <v>26</v>
      </c>
      <c r="F52" s="37" t="s">
        <v>28</v>
      </c>
      <c r="J52" t="s">
        <v>66</v>
      </c>
    </row>
    <row r="53" spans="1:10" x14ac:dyDescent="0.35">
      <c r="A53" s="31" t="s">
        <v>5</v>
      </c>
      <c r="B53" s="11">
        <f>B35 * $F$44</f>
        <v>0</v>
      </c>
      <c r="C53" s="11">
        <f>C35 * $F$45</f>
        <v>0</v>
      </c>
      <c r="D53" s="11">
        <f>D35 * $F$46</f>
        <v>0</v>
      </c>
      <c r="E53" s="11">
        <f>E35 * $F$47</f>
        <v>0.17647058823529413</v>
      </c>
      <c r="F53" s="11">
        <f>F35 * $F$48</f>
        <v>0.11764705882352941</v>
      </c>
    </row>
    <row r="54" spans="1:10" x14ac:dyDescent="0.35">
      <c r="A54" s="31" t="s">
        <v>6</v>
      </c>
      <c r="B54" s="11">
        <f t="shared" ref="B54:B57" si="11">B36 * $F$44</f>
        <v>0.29411764705882354</v>
      </c>
      <c r="C54" s="11">
        <f t="shared" ref="C54:C57" si="12">C36 * $F$45</f>
        <v>0.11764705882352941</v>
      </c>
      <c r="D54" s="11">
        <f t="shared" ref="D54:D57" si="13">D36 * $F$46</f>
        <v>0.17647058823529413</v>
      </c>
      <c r="E54" s="11">
        <f t="shared" ref="E54:E57" si="14">E36 * $F$47</f>
        <v>0</v>
      </c>
      <c r="F54" s="11">
        <f t="shared" ref="F54:F57" si="15">F36 * $F$48</f>
        <v>0</v>
      </c>
    </row>
    <row r="55" spans="1:10" x14ac:dyDescent="0.35">
      <c r="A55" s="31" t="s">
        <v>7</v>
      </c>
      <c r="B55" s="11">
        <f t="shared" si="11"/>
        <v>0.22624434389140272</v>
      </c>
      <c r="C55" s="11">
        <f t="shared" si="12"/>
        <v>0.23529411764705882</v>
      </c>
      <c r="D55" s="11">
        <f t="shared" si="13"/>
        <v>7.3529411764705885E-2</v>
      </c>
      <c r="E55" s="11">
        <f t="shared" si="14"/>
        <v>6.7873303167420809E-2</v>
      </c>
      <c r="F55" s="11">
        <f t="shared" si="15"/>
        <v>4.9019607843137254E-2</v>
      </c>
    </row>
    <row r="56" spans="1:10" x14ac:dyDescent="0.35">
      <c r="A56" s="31" t="s">
        <v>8</v>
      </c>
      <c r="B56" s="11">
        <f t="shared" si="11"/>
        <v>0.11312217194570136</v>
      </c>
      <c r="C56" s="11">
        <f t="shared" si="12"/>
        <v>0.11764705882352941</v>
      </c>
      <c r="D56" s="11">
        <f t="shared" si="13"/>
        <v>0</v>
      </c>
      <c r="E56" s="11">
        <f t="shared" si="14"/>
        <v>6.7873303167420809E-2</v>
      </c>
      <c r="F56" s="11">
        <f t="shared" si="15"/>
        <v>7.8431372549019621E-2</v>
      </c>
    </row>
    <row r="57" spans="1:10" x14ac:dyDescent="0.35">
      <c r="A57" s="39" t="s">
        <v>9</v>
      </c>
      <c r="B57" s="11">
        <f t="shared" si="11"/>
        <v>0.11312217194570136</v>
      </c>
      <c r="C57" s="11">
        <f t="shared" si="12"/>
        <v>0.11764705882352941</v>
      </c>
      <c r="D57" s="11">
        <f t="shared" si="13"/>
        <v>7.3529411764705885E-2</v>
      </c>
      <c r="E57" s="11">
        <f t="shared" si="14"/>
        <v>0.13574660633484162</v>
      </c>
      <c r="F57" s="11">
        <f t="shared" si="15"/>
        <v>0.11764705882352941</v>
      </c>
    </row>
    <row r="58" spans="1:10" x14ac:dyDescent="0.35">
      <c r="A58" s="4"/>
      <c r="B58" s="4"/>
      <c r="C58" s="4"/>
      <c r="D58" s="4"/>
      <c r="E58" s="4"/>
      <c r="F58" s="4"/>
    </row>
    <row r="60" spans="1:10" x14ac:dyDescent="0.35">
      <c r="A60" s="9" t="s">
        <v>78</v>
      </c>
    </row>
    <row r="62" spans="1:10" x14ac:dyDescent="0.35">
      <c r="A62" s="37" t="s">
        <v>17</v>
      </c>
      <c r="B62" s="41" t="s">
        <v>79</v>
      </c>
      <c r="C62" s="42" t="s">
        <v>80</v>
      </c>
    </row>
    <row r="63" spans="1:10" x14ac:dyDescent="0.35">
      <c r="A63" s="31" t="s">
        <v>5</v>
      </c>
      <c r="B63" s="43">
        <f>SUM(B53:F53)</f>
        <v>0.29411764705882354</v>
      </c>
      <c r="C63" s="44">
        <f>+MAX(B53:F53)</f>
        <v>0.17647058823529413</v>
      </c>
    </row>
    <row r="64" spans="1:10" x14ac:dyDescent="0.35">
      <c r="A64" s="31" t="s">
        <v>6</v>
      </c>
      <c r="B64" s="43">
        <f t="shared" ref="B64:B67" si="16">SUM(B54:F54)</f>
        <v>0.58823529411764708</v>
      </c>
      <c r="C64" s="44">
        <f t="shared" ref="C64:C67" si="17">+MAX(B54:F54)</f>
        <v>0.29411764705882354</v>
      </c>
    </row>
    <row r="65" spans="1:3" x14ac:dyDescent="0.35">
      <c r="A65" s="31" t="s">
        <v>7</v>
      </c>
      <c r="B65" s="43">
        <f t="shared" si="16"/>
        <v>0.65196078431372551</v>
      </c>
      <c r="C65" s="44">
        <f t="shared" si="17"/>
        <v>0.23529411764705882</v>
      </c>
    </row>
    <row r="66" spans="1:3" x14ac:dyDescent="0.35">
      <c r="A66" s="31" t="s">
        <v>8</v>
      </c>
      <c r="B66" s="43">
        <f t="shared" si="16"/>
        <v>0.37707390648567118</v>
      </c>
      <c r="C66" s="44">
        <f t="shared" si="17"/>
        <v>0.11764705882352941</v>
      </c>
    </row>
    <row r="67" spans="1:3" x14ac:dyDescent="0.35">
      <c r="A67" s="39" t="s">
        <v>9</v>
      </c>
      <c r="B67" s="43">
        <f t="shared" si="16"/>
        <v>0.55769230769230771</v>
      </c>
      <c r="C67" s="44">
        <f t="shared" si="17"/>
        <v>0.13574660633484162</v>
      </c>
    </row>
    <row r="68" spans="1:3" x14ac:dyDescent="0.35">
      <c r="A68" s="40" t="s">
        <v>81</v>
      </c>
      <c r="B68" s="45">
        <f>MIN(B63:B67)</f>
        <v>0.29411764705882354</v>
      </c>
      <c r="C68" s="45">
        <f>MIN(C63:C67)</f>
        <v>0.11764705882352941</v>
      </c>
    </row>
    <row r="69" spans="1:3" x14ac:dyDescent="0.35">
      <c r="A69" s="40" t="s">
        <v>82</v>
      </c>
      <c r="B69" s="45">
        <f>MAX(B63:B67)</f>
        <v>0.65196078431372551</v>
      </c>
      <c r="C69" s="45">
        <f>MAX(C63:C67)</f>
        <v>0.29411764705882354</v>
      </c>
    </row>
    <row r="70" spans="1:3" x14ac:dyDescent="0.35">
      <c r="A70" s="46"/>
      <c r="B70" s="46"/>
      <c r="C70" s="46"/>
    </row>
    <row r="71" spans="1:3" x14ac:dyDescent="0.35">
      <c r="A71" s="46"/>
      <c r="B71" s="46"/>
      <c r="C71" s="46"/>
    </row>
    <row r="72" spans="1:3" x14ac:dyDescent="0.35">
      <c r="A72" s="46" t="s">
        <v>83</v>
      </c>
      <c r="B72" s="46"/>
      <c r="C72" s="46"/>
    </row>
    <row r="73" spans="1:3" x14ac:dyDescent="0.35">
      <c r="A73" s="37" t="s">
        <v>17</v>
      </c>
      <c r="B73" s="41" t="s">
        <v>84</v>
      </c>
      <c r="C73" s="42" t="s">
        <v>16</v>
      </c>
    </row>
    <row r="74" spans="1:3" x14ac:dyDescent="0.35">
      <c r="A74" s="31" t="s">
        <v>5</v>
      </c>
      <c r="B74" s="43">
        <f>((B63-B$68)/(B$69-B$68))*0.5 + ((C63-C$68)/(C$69-C$68))*(1-0.5)</f>
        <v>0.16666666666666669</v>
      </c>
      <c r="C74" s="44">
        <f>RANK(B74, B$74:B$78, 1)</f>
        <v>2</v>
      </c>
    </row>
    <row r="75" spans="1:3" x14ac:dyDescent="0.35">
      <c r="A75" s="31" t="s">
        <v>6</v>
      </c>
      <c r="B75" s="43">
        <f t="shared" ref="B75:B78" si="18">((B64-B$68)/(B$69-B$68))*0.5 + ((C64-C$68)/(C$69-C$68))*(1-0.5)</f>
        <v>0.91095890410958913</v>
      </c>
      <c r="C75" s="44">
        <f t="shared" ref="C75:C78" si="19">RANK(B75, B$74:B$78, 1)</f>
        <v>5</v>
      </c>
    </row>
    <row r="76" spans="1:3" x14ac:dyDescent="0.35">
      <c r="A76" s="31" t="s">
        <v>7</v>
      </c>
      <c r="B76" s="43">
        <f t="shared" si="18"/>
        <v>0.83333333333333326</v>
      </c>
      <c r="C76" s="44">
        <f t="shared" si="19"/>
        <v>4</v>
      </c>
    </row>
    <row r="77" spans="1:3" x14ac:dyDescent="0.35">
      <c r="A77" s="31" t="s">
        <v>8</v>
      </c>
      <c r="B77" s="43">
        <f t="shared" si="18"/>
        <v>0.11591148577449945</v>
      </c>
      <c r="C77" s="44">
        <f t="shared" si="19"/>
        <v>1</v>
      </c>
    </row>
    <row r="78" spans="1:3" x14ac:dyDescent="0.35">
      <c r="A78" s="39" t="s">
        <v>9</v>
      </c>
      <c r="B78" s="43">
        <f t="shared" si="18"/>
        <v>0.41956445381102914</v>
      </c>
      <c r="C78" s="44">
        <f t="shared" si="19"/>
        <v>3</v>
      </c>
    </row>
  </sheetData>
  <phoneticPr fontId="6" type="noConversion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CF89C-6776-4ABD-9740-8F0FC3C4B136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"/>
  <sheetViews>
    <sheetView workbookViewId="0"/>
  </sheetViews>
  <sheetFormatPr defaultRowHeight="14.5" x14ac:dyDescent="0.35"/>
  <sheetData>
    <row r="1" spans="1:6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s="1" t="s">
        <v>5</v>
      </c>
      <c r="B2">
        <v>1</v>
      </c>
      <c r="C2">
        <v>0.8</v>
      </c>
      <c r="D2">
        <v>0.6</v>
      </c>
      <c r="E2">
        <v>0.8</v>
      </c>
      <c r="F2">
        <v>0.6</v>
      </c>
    </row>
    <row r="3" spans="1:6" x14ac:dyDescent="0.35">
      <c r="A3" s="1" t="s">
        <v>6</v>
      </c>
      <c r="B3">
        <v>0.8</v>
      </c>
      <c r="C3">
        <v>1</v>
      </c>
      <c r="D3">
        <v>0.8</v>
      </c>
      <c r="E3">
        <v>0.6</v>
      </c>
      <c r="F3">
        <v>0.4</v>
      </c>
    </row>
    <row r="4" spans="1:6" x14ac:dyDescent="0.35">
      <c r="A4" s="1" t="s">
        <v>7</v>
      </c>
      <c r="B4">
        <v>0.6</v>
      </c>
      <c r="C4">
        <v>0.8</v>
      </c>
      <c r="D4">
        <v>1</v>
      </c>
      <c r="E4">
        <v>0.8</v>
      </c>
      <c r="F4">
        <v>0.6</v>
      </c>
    </row>
    <row r="5" spans="1:6" x14ac:dyDescent="0.35">
      <c r="A5" s="1" t="s">
        <v>8</v>
      </c>
      <c r="B5">
        <v>0.8</v>
      </c>
      <c r="C5">
        <v>0.6</v>
      </c>
      <c r="D5">
        <v>0.6</v>
      </c>
      <c r="E5">
        <v>1</v>
      </c>
      <c r="F5">
        <v>0.8</v>
      </c>
    </row>
    <row r="6" spans="1:6" x14ac:dyDescent="0.35">
      <c r="A6" s="1" t="s">
        <v>9</v>
      </c>
      <c r="B6">
        <v>0.6</v>
      </c>
      <c r="C6">
        <v>0.8</v>
      </c>
      <c r="D6">
        <v>0.8</v>
      </c>
      <c r="E6">
        <v>0.6</v>
      </c>
      <c r="F6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workbookViewId="0"/>
  </sheetViews>
  <sheetFormatPr defaultRowHeight="14.5" x14ac:dyDescent="0.35"/>
  <sheetData>
    <row r="1" spans="1:3" x14ac:dyDescent="0.35">
      <c r="A1" s="1" t="s">
        <v>10</v>
      </c>
      <c r="B1" s="1" t="s">
        <v>11</v>
      </c>
      <c r="C1" s="1" t="s">
        <v>12</v>
      </c>
    </row>
    <row r="2" spans="1:3" x14ac:dyDescent="0.35">
      <c r="A2" t="s">
        <v>0</v>
      </c>
      <c r="B2">
        <v>5</v>
      </c>
      <c r="C2">
        <v>0.29411764705882348</v>
      </c>
    </row>
    <row r="3" spans="1:3" x14ac:dyDescent="0.35">
      <c r="A3" t="s">
        <v>1</v>
      </c>
      <c r="B3">
        <v>4</v>
      </c>
      <c r="C3">
        <v>0.23529411764705879</v>
      </c>
    </row>
    <row r="4" spans="1:3" x14ac:dyDescent="0.35">
      <c r="A4" t="s">
        <v>2</v>
      </c>
      <c r="B4">
        <v>3</v>
      </c>
      <c r="C4">
        <v>0.1764705882352941</v>
      </c>
    </row>
    <row r="5" spans="1:3" x14ac:dyDescent="0.35">
      <c r="A5" t="s">
        <v>3</v>
      </c>
      <c r="B5">
        <v>3</v>
      </c>
      <c r="C5">
        <v>0.1764705882352941</v>
      </c>
    </row>
    <row r="6" spans="1:3" x14ac:dyDescent="0.35">
      <c r="A6" t="s">
        <v>4</v>
      </c>
      <c r="B6">
        <v>2</v>
      </c>
      <c r="C6">
        <v>0.1176470588235294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"/>
  <sheetViews>
    <sheetView workbookViewId="0"/>
  </sheetViews>
  <sheetFormatPr defaultRowHeight="14.5" x14ac:dyDescent="0.35"/>
  <sheetData>
    <row r="1" spans="1:5" x14ac:dyDescent="0.35">
      <c r="B1" s="1" t="s">
        <v>13</v>
      </c>
      <c r="C1" s="1" t="s">
        <v>14</v>
      </c>
      <c r="D1" s="1" t="s">
        <v>15</v>
      </c>
      <c r="E1" s="1" t="s">
        <v>16</v>
      </c>
    </row>
    <row r="2" spans="1:5" x14ac:dyDescent="0.35">
      <c r="A2" s="1" t="s">
        <v>9</v>
      </c>
      <c r="B2">
        <v>0.72941199999999995</v>
      </c>
      <c r="C2">
        <v>0.18823500000000001</v>
      </c>
      <c r="D2">
        <v>0</v>
      </c>
      <c r="E2">
        <v>1</v>
      </c>
    </row>
    <row r="3" spans="1:5" x14ac:dyDescent="0.35">
      <c r="A3" s="1" t="s">
        <v>7</v>
      </c>
      <c r="B3">
        <v>0.75294099999999997</v>
      </c>
      <c r="C3">
        <v>0.18823500000000001</v>
      </c>
      <c r="D3">
        <v>0.16666700000000001</v>
      </c>
      <c r="E3">
        <v>2</v>
      </c>
    </row>
    <row r="4" spans="1:5" x14ac:dyDescent="0.35">
      <c r="A4" s="1" t="s">
        <v>8</v>
      </c>
      <c r="B4">
        <v>0.75294099999999997</v>
      </c>
      <c r="C4">
        <v>0.235294</v>
      </c>
      <c r="D4">
        <v>0.38888899999999998</v>
      </c>
      <c r="E4">
        <v>3</v>
      </c>
    </row>
    <row r="5" spans="1:5" x14ac:dyDescent="0.35">
      <c r="A5" s="1" t="s">
        <v>6</v>
      </c>
      <c r="B5">
        <v>0.764706</v>
      </c>
      <c r="C5">
        <v>0.235294</v>
      </c>
      <c r="D5">
        <v>0.47222199999999998</v>
      </c>
      <c r="E5">
        <v>4</v>
      </c>
    </row>
    <row r="6" spans="1:5" x14ac:dyDescent="0.35">
      <c r="A6" s="1" t="s">
        <v>5</v>
      </c>
      <c r="B6">
        <v>0.8</v>
      </c>
      <c r="C6">
        <v>0.29411799999999999</v>
      </c>
      <c r="D6">
        <v>1</v>
      </c>
      <c r="E6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1. Data Penilaian</vt:lpstr>
      <vt:lpstr>Sheet1</vt:lpstr>
      <vt:lpstr>2. Normalisasi Matriks</vt:lpstr>
      <vt:lpstr>3. Bobot</vt:lpstr>
      <vt:lpstr>4. Hasil Akhir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Edward Chorintians</cp:lastModifiedBy>
  <dcterms:created xsi:type="dcterms:W3CDTF">2025-11-04T16:09:46Z</dcterms:created>
  <dcterms:modified xsi:type="dcterms:W3CDTF">2025-11-06T07:50:17Z</dcterms:modified>
</cp:coreProperties>
</file>